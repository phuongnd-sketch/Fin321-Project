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hristinadoan/Downloads/"/>
    </mc:Choice>
  </mc:AlternateContent>
  <xr:revisionPtr revIDLastSave="0" documentId="8_{74B3A17B-CBDE-E54D-9981-A57B91C1F0E2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INPUT_SUMMARY" sheetId="1" r:id="rId1"/>
    <sheet name="CALCULATIONS" sheetId="2" r:id="rId2"/>
    <sheet name="SCENARIO_ANALYSIS" sheetId="3" r:id="rId3"/>
    <sheet name="CHARTS" sheetId="4" state="hidden" r:id="rId4"/>
    <sheet name="DOCUMENTATION" sheetId="5" state="hidden" r:id="rId5"/>
  </sheets>
  <definedNames>
    <definedName name="F0_in">INPUT_SUMMARY!$B$5</definedName>
    <definedName name="FC_AMT">INPUT_SUMMARY!$B$3</definedName>
    <definedName name="K_CALL">INPUT_SUMMARY!$B$9</definedName>
    <definedName name="K_PUT">INPUT_SUMMARY!$B$8</definedName>
    <definedName name="PREM_CALL">INPUT_SUMMARY!$B$11</definedName>
    <definedName name="PREM_PUT">INPUT_SUMMARY!$B$10</definedName>
    <definedName name="R_FC">INPUT_SUMMARY!$B$7</definedName>
    <definedName name="R_USD">INPUT_SUMMARY!$B$6</definedName>
    <definedName name="S0_in">INPUT_SUMMARY!$B$4</definedName>
    <definedName name="T_DAYS">INPUT_SUMMARY!$B$12</definedName>
    <definedName name="T_YRS">INPUT_SUMMARY!$B$13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" l="1"/>
  <c r="C14" i="3" s="1"/>
  <c r="A13" i="3"/>
  <c r="C13" i="3" s="1"/>
  <c r="C12" i="3"/>
  <c r="B12" i="3"/>
  <c r="A12" i="3"/>
  <c r="A11" i="3"/>
  <c r="B11" i="3" s="1"/>
  <c r="A10" i="3"/>
  <c r="B10" i="3" s="1"/>
  <c r="C9" i="3"/>
  <c r="A9" i="3"/>
  <c r="B9" i="3" s="1"/>
  <c r="A8" i="3"/>
  <c r="C8" i="3" s="1"/>
  <c r="A7" i="3"/>
  <c r="C7" i="3" s="1"/>
  <c r="A6" i="3"/>
  <c r="C6" i="3" s="1"/>
  <c r="A5" i="3"/>
  <c r="C5" i="3" s="1"/>
  <c r="C4" i="3"/>
  <c r="B4" i="3"/>
  <c r="A4" i="3"/>
  <c r="B7" i="2"/>
  <c r="B3" i="2"/>
  <c r="B13" i="1"/>
  <c r="B5" i="2" s="1"/>
  <c r="B7" i="3" l="1"/>
  <c r="C10" i="3"/>
  <c r="B13" i="3"/>
  <c r="C11" i="3"/>
  <c r="B14" i="3"/>
  <c r="B5" i="3"/>
  <c r="B8" i="3"/>
  <c r="B6" i="3"/>
</calcChain>
</file>

<file path=xl/sharedStrings.xml><?xml version="1.0" encoding="utf-8"?>
<sst xmlns="http://schemas.openxmlformats.org/spreadsheetml/2006/main" count="20" uniqueCount="20">
  <si>
    <t>FX Hedging Model – Inputs</t>
  </si>
  <si>
    <t>FC_AMT</t>
  </si>
  <si>
    <t>S0_in</t>
  </si>
  <si>
    <t>F0_in</t>
  </si>
  <si>
    <t>R_USD</t>
  </si>
  <si>
    <t>R_FC</t>
  </si>
  <si>
    <t>K_PUT</t>
  </si>
  <si>
    <t>K_CALL</t>
  </si>
  <si>
    <t>PREM_PUT</t>
  </si>
  <si>
    <t>PREM_CALL</t>
  </si>
  <si>
    <t>T_DAYS</t>
  </si>
  <si>
    <t>T_YRS</t>
  </si>
  <si>
    <t>Hedge Calculations</t>
  </si>
  <si>
    <t>Forward Hedge USD</t>
  </si>
  <si>
    <t>MM Hedge USD</t>
  </si>
  <si>
    <t>Option Premium USD</t>
  </si>
  <si>
    <t>Spot Sensitivity</t>
  </si>
  <si>
    <t>Spot</t>
  </si>
  <si>
    <t>Unhedged USD</t>
  </si>
  <si>
    <t>Option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</si>
</sst>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20.5" customWidth="1"/>
    <col min="2" max="2" width="21.1640625" customWidth="1"/>
  </cols>
  <sheetData>
    <row r="1" spans="1:2" x14ac:dyDescent="0.2">
      <c r="A1" s="1" t="s">
        <v>0</v>
      </c>
    </row>
    <row r="3" spans="1:2" x14ac:dyDescent="0.2">
      <c r="A3" t="s">
        <v>1</v>
      </c>
      <c r="B3" s="2">
        <v>2850000</v>
      </c>
    </row>
    <row r="4" spans="1:2" x14ac:dyDescent="0.2">
      <c r="A4" t="s">
        <v>2</v>
      </c>
      <c r="B4" s="2">
        <v>1.0920000000000001</v>
      </c>
    </row>
    <row r="5" spans="1:2" x14ac:dyDescent="0.2">
      <c r="A5" t="s">
        <v>3</v>
      </c>
      <c r="B5" s="2">
        <v>1.0865</v>
      </c>
    </row>
    <row r="6" spans="1:2" x14ac:dyDescent="0.2">
      <c r="A6" t="s">
        <v>4</v>
      </c>
      <c r="B6" s="2">
        <v>5.2499999999999998E-2</v>
      </c>
    </row>
    <row r="7" spans="1:2" x14ac:dyDescent="0.2">
      <c r="A7" t="s">
        <v>5</v>
      </c>
      <c r="B7" s="2">
        <v>2.75E-2</v>
      </c>
    </row>
    <row r="8" spans="1:2" x14ac:dyDescent="0.2">
      <c r="A8" t="s">
        <v>6</v>
      </c>
      <c r="B8" s="2">
        <v>1.0900000000000001</v>
      </c>
    </row>
    <row r="9" spans="1:2" x14ac:dyDescent="0.2">
      <c r="A9" t="s">
        <v>7</v>
      </c>
      <c r="B9" s="2">
        <v>1.0900000000000001</v>
      </c>
    </row>
    <row r="10" spans="1:2" x14ac:dyDescent="0.2">
      <c r="A10" t="s">
        <v>8</v>
      </c>
      <c r="B10" s="2">
        <v>1.7999999999999999E-2</v>
      </c>
    </row>
    <row r="11" spans="1:2" x14ac:dyDescent="0.2">
      <c r="A11" t="s">
        <v>9</v>
      </c>
      <c r="B11" s="2">
        <v>2.1999999999999999E-2</v>
      </c>
    </row>
    <row r="12" spans="1:2" x14ac:dyDescent="0.2">
      <c r="A12" t="s">
        <v>10</v>
      </c>
      <c r="B12" s="2">
        <v>180</v>
      </c>
    </row>
    <row r="13" spans="1:2" x14ac:dyDescent="0.2">
      <c r="A13" t="s">
        <v>11</v>
      </c>
      <c r="B13" s="3">
        <f>T_DAYS/360</f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1" width="17.5" bestFit="1" customWidth="1"/>
  </cols>
  <sheetData>
    <row r="1" spans="1:2" x14ac:dyDescent="0.2">
      <c r="A1" s="1" t="s">
        <v>12</v>
      </c>
    </row>
    <row r="3" spans="1:2" x14ac:dyDescent="0.2">
      <c r="A3" t="s">
        <v>13</v>
      </c>
      <c r="B3" s="4">
        <f>FC_AMT*F0_in</f>
        <v>3096525</v>
      </c>
    </row>
    <row r="5" spans="1:2" x14ac:dyDescent="0.2">
      <c r="A5" t="s">
        <v>14</v>
      </c>
      <c r="B5" s="4">
        <f>FC_AMT/(1+R_FC*T_YRS)*S0_in*(1+R_USD*T_YRS)</f>
        <v>3150574.8458692976</v>
      </c>
    </row>
    <row r="7" spans="1:2" x14ac:dyDescent="0.2">
      <c r="A7" t="s">
        <v>15</v>
      </c>
      <c r="B7" s="3">
        <f>FC_AMT*PREM_PUT</f>
        <v>51299.999999999993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baseColWidth="10" defaultColWidth="8.83203125" defaultRowHeight="15" x14ac:dyDescent="0.2"/>
  <cols>
    <col min="1" max="1" width="13" bestFit="1" customWidth="1"/>
    <col min="2" max="2" width="12.33203125" bestFit="1" customWidth="1"/>
    <col min="3" max="3" width="10" bestFit="1" customWidth="1"/>
  </cols>
  <sheetData>
    <row r="1" spans="1:3" x14ac:dyDescent="0.2">
      <c r="A1" s="1" t="s">
        <v>16</v>
      </c>
    </row>
    <row r="3" spans="1:3" x14ac:dyDescent="0.2">
      <c r="A3" t="s">
        <v>17</v>
      </c>
      <c r="B3" t="s">
        <v>18</v>
      </c>
      <c r="C3" t="s">
        <v>19</v>
      </c>
    </row>
    <row r="4" spans="1:3" x14ac:dyDescent="0.2">
      <c r="A4">
        <f>S0_in*0.95</f>
        <v>1.0374000000000001</v>
      </c>
      <c r="B4">
        <f t="shared" ref="B4:B14" si="0">FC_AMT*A4</f>
        <v>2956590.0000000005</v>
      </c>
      <c r="C4" s="4">
        <f t="shared" ref="C4:C14" si="1">FC_AMT*A4+MAX(K_PUT-A4,0)*FC_AMT-(FC_AMT*PREM_PUT)</f>
        <v>3055200.0000000005</v>
      </c>
    </row>
    <row r="5" spans="1:3" x14ac:dyDescent="0.2">
      <c r="A5">
        <f>S0_in*0.96</f>
        <v>1.0483200000000001</v>
      </c>
      <c r="B5">
        <f t="shared" si="0"/>
        <v>2987712.0000000005</v>
      </c>
      <c r="C5" s="4">
        <f t="shared" si="1"/>
        <v>3055200.0000000005</v>
      </c>
    </row>
    <row r="6" spans="1:3" x14ac:dyDescent="0.2">
      <c r="A6">
        <f>S0_in*0.97</f>
        <v>1.05924</v>
      </c>
      <c r="B6">
        <f t="shared" si="0"/>
        <v>3018834</v>
      </c>
      <c r="C6" s="4">
        <f t="shared" si="1"/>
        <v>3055200.0000000005</v>
      </c>
    </row>
    <row r="7" spans="1:3" x14ac:dyDescent="0.2">
      <c r="A7">
        <f>S0_in*0.98</f>
        <v>1.07016</v>
      </c>
      <c r="B7">
        <f t="shared" si="0"/>
        <v>3049956</v>
      </c>
      <c r="C7" s="4">
        <f t="shared" si="1"/>
        <v>3055200</v>
      </c>
    </row>
    <row r="8" spans="1:3" x14ac:dyDescent="0.2">
      <c r="A8">
        <f>S0_in*0.99</f>
        <v>1.08108</v>
      </c>
      <c r="B8">
        <f t="shared" si="0"/>
        <v>3081078</v>
      </c>
      <c r="C8" s="4">
        <f t="shared" si="1"/>
        <v>3055200</v>
      </c>
    </row>
    <row r="9" spans="1:3" x14ac:dyDescent="0.2">
      <c r="A9">
        <f>S0_in*1</f>
        <v>1.0920000000000001</v>
      </c>
      <c r="B9">
        <f t="shared" si="0"/>
        <v>3112200.0000000005</v>
      </c>
      <c r="C9" s="4">
        <f t="shared" si="1"/>
        <v>3060900.0000000005</v>
      </c>
    </row>
    <row r="10" spans="1:3" x14ac:dyDescent="0.2">
      <c r="A10">
        <f>S0_in*1.01</f>
        <v>1.1029200000000001</v>
      </c>
      <c r="B10">
        <f t="shared" si="0"/>
        <v>3143322.0000000005</v>
      </c>
      <c r="C10" s="4">
        <f t="shared" si="1"/>
        <v>3092022.0000000005</v>
      </c>
    </row>
    <row r="11" spans="1:3" x14ac:dyDescent="0.2">
      <c r="A11">
        <f>S0_in*1.02</f>
        <v>1.1138400000000002</v>
      </c>
      <c r="B11">
        <f t="shared" si="0"/>
        <v>3174444.0000000005</v>
      </c>
      <c r="C11" s="4">
        <f t="shared" si="1"/>
        <v>3123144.0000000005</v>
      </c>
    </row>
    <row r="12" spans="1:3" x14ac:dyDescent="0.2">
      <c r="A12">
        <f>S0_in*1.03</f>
        <v>1.1247600000000002</v>
      </c>
      <c r="B12">
        <f t="shared" si="0"/>
        <v>3205566.0000000005</v>
      </c>
      <c r="C12" s="4">
        <f t="shared" si="1"/>
        <v>3154266.0000000005</v>
      </c>
    </row>
    <row r="13" spans="1:3" x14ac:dyDescent="0.2">
      <c r="A13">
        <f>S0_in*1.04</f>
        <v>1.13568</v>
      </c>
      <c r="B13">
        <f t="shared" si="0"/>
        <v>3236688</v>
      </c>
      <c r="C13" s="4">
        <f t="shared" si="1"/>
        <v>3185388</v>
      </c>
    </row>
    <row r="14" spans="1:3" x14ac:dyDescent="0.2">
      <c r="A14">
        <f>S0_in*1.05</f>
        <v>1.1466000000000001</v>
      </c>
      <c r="B14">
        <f t="shared" si="0"/>
        <v>3267810</v>
      </c>
      <c r="C14" s="4">
        <f t="shared" si="1"/>
        <v>3216510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INPUT_SUMMARY</vt:lpstr>
      <vt:lpstr>CALCULATIONS</vt:lpstr>
      <vt:lpstr>SCENARIO_ANALYSIS</vt:lpstr>
      <vt:lpstr>CHARTS</vt:lpstr>
      <vt:lpstr>DOCUMENTATION</vt:lpstr>
      <vt:lpstr>F0_in</vt:lpstr>
      <vt:lpstr>FC_AMT</vt:lpstr>
      <vt:lpstr>K_CALL</vt:lpstr>
      <vt:lpstr>K_PUT</vt:lpstr>
      <vt:lpstr>PREM_CALL</vt:lpstr>
      <vt:lpstr>PREM_PUT</vt:lpstr>
      <vt:lpstr>R_FC</vt:lpstr>
      <vt:lpstr>R_USD</vt:lpstr>
      <vt:lpstr>S0_in</vt:lpstr>
      <vt:lpstr>T_DAYS</vt:lpstr>
      <vt:lpstr>T_YRS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(Christina) Doan</cp:lastModifiedBy>
  <dcterms:created xsi:type="dcterms:W3CDTF">2025-12-13T06:28:29Z</dcterms:created>
  <dcterms:modified xsi:type="dcterms:W3CDTF">2025-12-13T06:48:20Z</dcterms:modified>
</cp:coreProperties>
</file>