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hristinadoan/Downloads/"/>
    </mc:Choice>
  </mc:AlternateContent>
  <xr:revisionPtr revIDLastSave="0" documentId="13_ncr:20001_{834990FB-EC09-9A4A-BCEB-603BE74F5F39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Inputs" sheetId="1" r:id="rId1"/>
    <sheet name="Forward" sheetId="2" r:id="rId2"/>
    <sheet name="MoneyMarket" sheetId="3" r:id="rId3"/>
    <sheet name="Option" sheetId="4" r:id="rId4"/>
    <sheet name="Sensitivity" sheetId="5" r:id="rId5"/>
  </sheets>
  <definedNames>
    <definedName name="F0">Inputs!$B$4</definedName>
    <definedName name="FC_AMT">Inputs!$B$1</definedName>
    <definedName name="FC_CURRENCY">Inputs!$B$2</definedName>
    <definedName name="K">Inputs!$B$7</definedName>
    <definedName name="OPTION_PREMIUM">Inputs!$B$8</definedName>
    <definedName name="OPTION_TYPE">Inputs!$B$9</definedName>
    <definedName name="r_FC">Inputs!$B$6</definedName>
    <definedName name="r_USD">Inputs!$B$5</definedName>
    <definedName name="S0">Inputs!$B$3</definedName>
    <definedName name="TTM">Inputs!$B$10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B14" i="5"/>
  <c r="C14" i="5" s="1"/>
  <c r="D13" i="5"/>
  <c r="B13" i="5"/>
  <c r="C13" i="5" s="1"/>
  <c r="D12" i="5"/>
  <c r="B12" i="5"/>
  <c r="C12" i="5" s="1"/>
  <c r="D11" i="5"/>
  <c r="B11" i="5"/>
  <c r="C11" i="5" s="1"/>
  <c r="D10" i="5"/>
  <c r="C10" i="5"/>
  <c r="B10" i="5"/>
  <c r="D9" i="5"/>
  <c r="B9" i="5"/>
  <c r="C9" i="5" s="1"/>
  <c r="D8" i="5"/>
  <c r="B8" i="5"/>
  <c r="C8" i="5" s="1"/>
  <c r="D7" i="5"/>
  <c r="C7" i="5"/>
  <c r="B7" i="5"/>
  <c r="D6" i="5"/>
  <c r="B6" i="5"/>
  <c r="C6" i="5" s="1"/>
  <c r="D5" i="5"/>
  <c r="B5" i="5"/>
  <c r="C5" i="5" s="1"/>
  <c r="D4" i="5"/>
  <c r="B4" i="5"/>
  <c r="C4" i="5" s="1"/>
  <c r="D18" i="4"/>
  <c r="C18" i="4"/>
  <c r="D17" i="4"/>
  <c r="C17" i="4"/>
  <c r="D16" i="4"/>
  <c r="C16" i="4"/>
  <c r="D15" i="4"/>
  <c r="C15" i="4"/>
  <c r="E15" i="4" s="1"/>
  <c r="F11" i="5" s="1"/>
  <c r="D14" i="4"/>
  <c r="C14" i="4"/>
  <c r="D13" i="4"/>
  <c r="C13" i="4"/>
  <c r="D12" i="4"/>
  <c r="C12" i="4"/>
  <c r="D11" i="4"/>
  <c r="C11" i="4"/>
  <c r="E11" i="4" s="1"/>
  <c r="F7" i="5" s="1"/>
  <c r="D10" i="4"/>
  <c r="C10" i="4"/>
  <c r="D9" i="4"/>
  <c r="C9" i="4"/>
  <c r="D8" i="4"/>
  <c r="C8" i="4"/>
  <c r="B4" i="4"/>
  <c r="B5" i="4" s="1"/>
  <c r="B5" i="3"/>
  <c r="C5" i="3" s="1"/>
  <c r="C4" i="3"/>
  <c r="B4" i="3"/>
  <c r="B5" i="2"/>
  <c r="B4" i="2"/>
  <c r="B7" i="2" s="1"/>
  <c r="E18" i="4" l="1"/>
  <c r="F14" i="5" s="1"/>
  <c r="E10" i="4"/>
  <c r="F6" i="5" s="1"/>
  <c r="E13" i="4"/>
  <c r="F9" i="5" s="1"/>
  <c r="E9" i="4"/>
  <c r="F5" i="5" s="1"/>
  <c r="E14" i="4"/>
  <c r="F10" i="5" s="1"/>
  <c r="E12" i="4"/>
  <c r="F8" i="5" s="1"/>
  <c r="E8" i="4"/>
  <c r="F4" i="5" s="1"/>
  <c r="E16" i="4"/>
  <c r="F12" i="5" s="1"/>
  <c r="E17" i="4"/>
  <c r="F13" i="5" s="1"/>
  <c r="B6" i="3"/>
  <c r="E11" i="5" l="1"/>
  <c r="E6" i="5"/>
  <c r="E9" i="5"/>
  <c r="E10" i="5"/>
  <c r="E5" i="5"/>
  <c r="E14" i="5"/>
  <c r="B8" i="3"/>
  <c r="E12" i="5"/>
  <c r="E4" i="5"/>
  <c r="E7" i="5"/>
  <c r="E13" i="5"/>
  <c r="E8" i="5"/>
</calcChain>
</file>

<file path=xl/sharedStrings.xml><?xml version="1.0" encoding="utf-8"?>
<sst xmlns="http://schemas.openxmlformats.org/spreadsheetml/2006/main" count="64" uniqueCount="50">
  <si>
    <t>FC_AMT</t>
  </si>
  <si>
    <t>FC_CURRENCY</t>
  </si>
  <si>
    <t>EUR</t>
  </si>
  <si>
    <t>S0</t>
  </si>
  <si>
    <t>F0</t>
  </si>
  <si>
    <t>r_USD</t>
  </si>
  <si>
    <t>r_FC</t>
  </si>
  <si>
    <t>K</t>
  </si>
  <si>
    <t>OPTION_PREMIUM</t>
  </si>
  <si>
    <t>OPTION_TYPE</t>
  </si>
  <si>
    <t>put</t>
  </si>
  <si>
    <t>TTM</t>
  </si>
  <si>
    <t>Forward Hedge Calculation</t>
  </si>
  <si>
    <t>Formula: USD Proceeds = FC_AMT * F0</t>
  </si>
  <si>
    <t>USD Proceeds (Locked In)</t>
  </si>
  <si>
    <t>Money Market Hedge</t>
  </si>
  <si>
    <t>Step</t>
  </si>
  <si>
    <t>Value</t>
  </si>
  <si>
    <t>Formula (Excel)</t>
  </si>
  <si>
    <t>1. Borrow PV of FC</t>
  </si>
  <si>
    <t>2. Convert to USD at S0</t>
  </si>
  <si>
    <t>3. Invest USD to maturity</t>
  </si>
  <si>
    <t>Final USD Proceeds</t>
  </si>
  <si>
    <t>Option Hedge Analysis</t>
  </si>
  <si>
    <t>Parameter</t>
  </si>
  <si>
    <t>Premium Cost (upfront)</t>
  </si>
  <si>
    <t>Premium FV at maturity</t>
  </si>
  <si>
    <t>Scenario S_T</t>
  </si>
  <si>
    <t>Spot USD/EUR at maturity</t>
  </si>
  <si>
    <t>Spot Proceeds</t>
  </si>
  <si>
    <t>Option Payoff</t>
  </si>
  <si>
    <t>Total Proceeds (Spot + Payoff - PremiumFV)</t>
  </si>
  <si>
    <t>-5%</t>
  </si>
  <si>
    <t>-4%</t>
  </si>
  <si>
    <t>-3%</t>
  </si>
  <si>
    <t>-2%</t>
  </si>
  <si>
    <t>-1%</t>
  </si>
  <si>
    <t>0%</t>
  </si>
  <si>
    <t>1%</t>
  </si>
  <si>
    <t>2%</t>
  </si>
  <si>
    <t>3%</t>
  </si>
  <si>
    <t>4%</t>
  </si>
  <si>
    <t>5%</t>
  </si>
  <si>
    <t>Sensitivity Analysis (±5% Spot)</t>
  </si>
  <si>
    <t>Scenario</t>
  </si>
  <si>
    <t>S_T</t>
  </si>
  <si>
    <t>Unhedged</t>
  </si>
  <si>
    <t>Forward</t>
  </si>
  <si>
    <t>Money Market</t>
  </si>
  <si>
    <t>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</si>
</sst>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3C4"/>
      </patternFill>
    </fill>
    <fill>
      <patternFill patternType="solid">
        <fgColor rgb="FFFFF9E6"/>
      </patternFill>
    </fill>
    <fill>
      <patternFill patternType="solid">
        <fgColor rgb="FFE6F0FF"/>
      </patternFill>
    </fill>
    <fill>
      <patternFill patternType="solid">
        <fgColor rgb="FFE6FF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Strategy Comparison across Spot Scenarios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Sensitivity!$A$4:$A$14</c:f>
              <c:strCache>
                <c:ptCount val="11"/>
                <c:pt idx="0">
                  <c:v>-5%</c:v>
                </c:pt>
                <c:pt idx="1">
                  <c:v>-4%</c:v>
                </c:pt>
                <c:pt idx="2">
                  <c:v>-3%</c:v>
                </c:pt>
                <c:pt idx="3">
                  <c:v>-2%</c:v>
                </c:pt>
                <c:pt idx="4">
                  <c:v>-1%</c:v>
                </c:pt>
                <c:pt idx="5">
                  <c:v>0%</c:v>
                </c:pt>
                <c:pt idx="6">
                  <c:v>1%</c:v>
                </c:pt>
                <c:pt idx="7">
                  <c:v>2%</c:v>
                </c:pt>
                <c:pt idx="8">
                  <c:v>3%</c:v>
                </c:pt>
                <c:pt idx="9">
                  <c:v>4%</c:v>
                </c:pt>
                <c:pt idx="10">
                  <c:v>5%</c:v>
                </c:pt>
              </c:strCache>
            </c:strRef>
          </c:cat>
          <c:val>
            <c:numRef>
              <c:f>Sensitivity!$C$4:$C$14</c:f>
              <c:numCache>
                <c:formatCode>"$"#,##0.00</c:formatCode>
                <c:ptCount val="11"/>
                <c:pt idx="0">
                  <c:v>1044999.9999999999</c:v>
                </c:pt>
                <c:pt idx="1">
                  <c:v>1056000</c:v>
                </c:pt>
                <c:pt idx="2">
                  <c:v>1067000</c:v>
                </c:pt>
                <c:pt idx="3">
                  <c:v>1078000</c:v>
                </c:pt>
                <c:pt idx="4">
                  <c:v>1089000</c:v>
                </c:pt>
                <c:pt idx="5">
                  <c:v>1100000</c:v>
                </c:pt>
                <c:pt idx="6">
                  <c:v>1111000.0000000002</c:v>
                </c:pt>
                <c:pt idx="7">
                  <c:v>1122000</c:v>
                </c:pt>
                <c:pt idx="8">
                  <c:v>1133000.0000000002</c:v>
                </c:pt>
                <c:pt idx="9">
                  <c:v>1144000.0000000002</c:v>
                </c:pt>
                <c:pt idx="10">
                  <c:v>1155000.0000000002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78-634C-9405-CC733AF8EFA1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Sensitivity!$A$4:$A$14</c:f>
              <c:strCache>
                <c:ptCount val="11"/>
                <c:pt idx="0">
                  <c:v>-5%</c:v>
                </c:pt>
                <c:pt idx="1">
                  <c:v>-4%</c:v>
                </c:pt>
                <c:pt idx="2">
                  <c:v>-3%</c:v>
                </c:pt>
                <c:pt idx="3">
                  <c:v>-2%</c:v>
                </c:pt>
                <c:pt idx="4">
                  <c:v>-1%</c:v>
                </c:pt>
                <c:pt idx="5">
                  <c:v>0%</c:v>
                </c:pt>
                <c:pt idx="6">
                  <c:v>1%</c:v>
                </c:pt>
                <c:pt idx="7">
                  <c:v>2%</c:v>
                </c:pt>
                <c:pt idx="8">
                  <c:v>3%</c:v>
                </c:pt>
                <c:pt idx="9">
                  <c:v>4%</c:v>
                </c:pt>
                <c:pt idx="10">
                  <c:v>5%</c:v>
                </c:pt>
              </c:strCache>
            </c:strRef>
          </c:cat>
          <c:val>
            <c:numRef>
              <c:f>Sensitivity!$D$4:$D$14</c:f>
              <c:numCache>
                <c:formatCode>"$"#,##0.00</c:formatCode>
                <c:ptCount val="11"/>
                <c:pt idx="0">
                  <c:v>1095000</c:v>
                </c:pt>
                <c:pt idx="1">
                  <c:v>1095000</c:v>
                </c:pt>
                <c:pt idx="2">
                  <c:v>1095000</c:v>
                </c:pt>
                <c:pt idx="3">
                  <c:v>1095000</c:v>
                </c:pt>
                <c:pt idx="4">
                  <c:v>1095000</c:v>
                </c:pt>
                <c:pt idx="5">
                  <c:v>1095000</c:v>
                </c:pt>
                <c:pt idx="6">
                  <c:v>1095000</c:v>
                </c:pt>
                <c:pt idx="7">
                  <c:v>1095000</c:v>
                </c:pt>
                <c:pt idx="8">
                  <c:v>1095000</c:v>
                </c:pt>
                <c:pt idx="9">
                  <c:v>1095000</c:v>
                </c:pt>
                <c:pt idx="10">
                  <c:v>1095000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78-634C-9405-CC733AF8EFA1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Sensitivity!$A$4:$A$14</c:f>
              <c:strCache>
                <c:ptCount val="11"/>
                <c:pt idx="0">
                  <c:v>-5%</c:v>
                </c:pt>
                <c:pt idx="1">
                  <c:v>-4%</c:v>
                </c:pt>
                <c:pt idx="2">
                  <c:v>-3%</c:v>
                </c:pt>
                <c:pt idx="3">
                  <c:v>-2%</c:v>
                </c:pt>
                <c:pt idx="4">
                  <c:v>-1%</c:v>
                </c:pt>
                <c:pt idx="5">
                  <c:v>0%</c:v>
                </c:pt>
                <c:pt idx="6">
                  <c:v>1%</c:v>
                </c:pt>
                <c:pt idx="7">
                  <c:v>2%</c:v>
                </c:pt>
                <c:pt idx="8">
                  <c:v>3%</c:v>
                </c:pt>
                <c:pt idx="9">
                  <c:v>4%</c:v>
                </c:pt>
                <c:pt idx="10">
                  <c:v>5%</c:v>
                </c:pt>
              </c:strCache>
            </c:strRef>
          </c:cat>
          <c:val>
            <c:numRef>
              <c:f>Sensitivity!$E$4:$E$14</c:f>
              <c:numCache>
                <c:formatCode>"$"#,##0.00</c:formatCode>
                <c:ptCount val="11"/>
                <c:pt idx="0">
                  <c:v>1105472.6368159205</c:v>
                </c:pt>
                <c:pt idx="1">
                  <c:v>1105472.6368159205</c:v>
                </c:pt>
                <c:pt idx="2">
                  <c:v>1105472.6368159205</c:v>
                </c:pt>
                <c:pt idx="3">
                  <c:v>1105472.6368159205</c:v>
                </c:pt>
                <c:pt idx="4">
                  <c:v>1105472.6368159205</c:v>
                </c:pt>
                <c:pt idx="5">
                  <c:v>1105472.6368159205</c:v>
                </c:pt>
                <c:pt idx="6">
                  <c:v>1105472.6368159205</c:v>
                </c:pt>
                <c:pt idx="7">
                  <c:v>1105472.6368159205</c:v>
                </c:pt>
                <c:pt idx="8">
                  <c:v>1105472.6368159205</c:v>
                </c:pt>
                <c:pt idx="9">
                  <c:v>1105472.6368159205</c:v>
                </c:pt>
                <c:pt idx="10">
                  <c:v>1105472.6368159205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78-634C-9405-CC733AF8EFA1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Sensitivity!$A$4:$A$14</c:f>
              <c:strCache>
                <c:ptCount val="11"/>
                <c:pt idx="0">
                  <c:v>-5%</c:v>
                </c:pt>
                <c:pt idx="1">
                  <c:v>-4%</c:v>
                </c:pt>
                <c:pt idx="2">
                  <c:v>-3%</c:v>
                </c:pt>
                <c:pt idx="3">
                  <c:v>-2%</c:v>
                </c:pt>
                <c:pt idx="4">
                  <c:v>-1%</c:v>
                </c:pt>
                <c:pt idx="5">
                  <c:v>0%</c:v>
                </c:pt>
                <c:pt idx="6">
                  <c:v>1%</c:v>
                </c:pt>
                <c:pt idx="7">
                  <c:v>2%</c:v>
                </c:pt>
                <c:pt idx="8">
                  <c:v>3%</c:v>
                </c:pt>
                <c:pt idx="9">
                  <c:v>4%</c:v>
                </c:pt>
                <c:pt idx="10">
                  <c:v>5%</c:v>
                </c:pt>
              </c:strCache>
            </c:strRef>
          </c:cat>
          <c:val>
            <c:numRef>
              <c:f>Sensitivity!$F$4:$F$14</c:f>
              <c:numCache>
                <c:formatCode>"$"#,##0.00</c:formatCode>
                <c:ptCount val="11"/>
                <c:pt idx="0">
                  <c:v>1079800</c:v>
                </c:pt>
                <c:pt idx="1">
                  <c:v>1079800</c:v>
                </c:pt>
                <c:pt idx="2">
                  <c:v>1079800.0000000002</c:v>
                </c:pt>
                <c:pt idx="3">
                  <c:v>1079800</c:v>
                </c:pt>
                <c:pt idx="4">
                  <c:v>1079800.0000000002</c:v>
                </c:pt>
                <c:pt idx="5">
                  <c:v>1079800</c:v>
                </c:pt>
                <c:pt idx="6">
                  <c:v>1090800</c:v>
                </c:pt>
                <c:pt idx="7">
                  <c:v>1101800</c:v>
                </c:pt>
                <c:pt idx="8">
                  <c:v>1112800</c:v>
                </c:pt>
                <c:pt idx="9">
                  <c:v>1123800</c:v>
                </c:pt>
                <c:pt idx="10">
                  <c:v>1134800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78-634C-9405-CC733AF8E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Scenario (pct)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Proceeds</a:t>
                </a:r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5" x14ac:dyDescent="0.2"/>
  <cols>
    <col min="1" max="1" width="22" customWidth="1"/>
    <col min="2" max="2" width="18" customWidth="1"/>
  </cols>
  <sheetData>
    <row r="1" spans="1:2" ht="18" customHeight="1" x14ac:dyDescent="0.2">
      <c r="A1" s="1" t="s">
        <v>0</v>
      </c>
      <c r="B1" s="2">
        <v>1000000</v>
      </c>
    </row>
    <row r="2" spans="1:2" ht="18" customHeight="1" x14ac:dyDescent="0.2">
      <c r="A2" s="1" t="s">
        <v>1</v>
      </c>
      <c r="B2" s="2" t="s">
        <v>2</v>
      </c>
    </row>
    <row r="3" spans="1:2" ht="18" customHeight="1" x14ac:dyDescent="0.2">
      <c r="A3" s="1" t="s">
        <v>3</v>
      </c>
      <c r="B3" s="2">
        <v>1.1000000000000001</v>
      </c>
    </row>
    <row r="4" spans="1:2" ht="18" customHeight="1" x14ac:dyDescent="0.2">
      <c r="A4" s="1" t="s">
        <v>4</v>
      </c>
      <c r="B4" s="2">
        <v>1.095</v>
      </c>
    </row>
    <row r="5" spans="1:2" ht="18" customHeight="1" x14ac:dyDescent="0.2">
      <c r="A5" s="1" t="s">
        <v>5</v>
      </c>
      <c r="B5" s="2">
        <v>0.04</v>
      </c>
    </row>
    <row r="6" spans="1:2" ht="18" customHeight="1" x14ac:dyDescent="0.2">
      <c r="A6" s="1" t="s">
        <v>6</v>
      </c>
      <c r="B6" s="2">
        <v>0.02</v>
      </c>
    </row>
    <row r="7" spans="1:2" ht="18" customHeight="1" x14ac:dyDescent="0.2">
      <c r="A7" s="1" t="s">
        <v>7</v>
      </c>
      <c r="B7" s="2">
        <v>1.1000000000000001</v>
      </c>
    </row>
    <row r="8" spans="1:2" ht="18" customHeight="1" x14ac:dyDescent="0.2">
      <c r="A8" s="1" t="s">
        <v>8</v>
      </c>
      <c r="B8" s="2">
        <v>0.02</v>
      </c>
    </row>
    <row r="9" spans="1:2" ht="18" customHeight="1" x14ac:dyDescent="0.2">
      <c r="A9" s="1" t="s">
        <v>9</v>
      </c>
      <c r="B9" s="2" t="s">
        <v>10</v>
      </c>
    </row>
    <row r="10" spans="1:2" ht="18" customHeight="1" x14ac:dyDescent="0.2">
      <c r="A10" s="1" t="s">
        <v>11</v>
      </c>
      <c r="B10" s="2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0" bestFit="1" customWidth="1"/>
    <col min="2" max="2" width="12.6640625" bestFit="1" customWidth="1"/>
  </cols>
  <sheetData>
    <row r="1" spans="1:2" ht="19" x14ac:dyDescent="0.25">
      <c r="A1" s="3" t="s">
        <v>12</v>
      </c>
    </row>
    <row r="3" spans="1:2" x14ac:dyDescent="0.2">
      <c r="A3" t="s">
        <v>13</v>
      </c>
    </row>
    <row r="4" spans="1:2" x14ac:dyDescent="0.2">
      <c r="A4" s="4" t="s">
        <v>0</v>
      </c>
      <c r="B4" s="4">
        <f>Inputs!$B$1</f>
        <v>1000000</v>
      </c>
    </row>
    <row r="5" spans="1:2" x14ac:dyDescent="0.2">
      <c r="A5" s="4" t="s">
        <v>4</v>
      </c>
      <c r="B5" s="4">
        <f>Inputs!$B$4</f>
        <v>1.095</v>
      </c>
    </row>
    <row r="7" spans="1:2" x14ac:dyDescent="0.2">
      <c r="A7" s="4" t="s">
        <v>14</v>
      </c>
      <c r="B7" s="5">
        <f>B4*B5</f>
        <v>1095000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23" bestFit="1" customWidth="1"/>
    <col min="2" max="2" width="12.6640625" bestFit="1" customWidth="1"/>
    <col min="3" max="3" width="39.33203125" bestFit="1" customWidth="1"/>
  </cols>
  <sheetData>
    <row r="1" spans="1:3" ht="19" x14ac:dyDescent="0.25">
      <c r="A1" s="3" t="s">
        <v>15</v>
      </c>
    </row>
    <row r="3" spans="1:3" x14ac:dyDescent="0.2">
      <c r="A3" s="6" t="s">
        <v>16</v>
      </c>
      <c r="B3" s="6" t="s">
        <v>17</v>
      </c>
      <c r="C3" s="6" t="s">
        <v>18</v>
      </c>
    </row>
    <row r="4" spans="1:3" x14ac:dyDescent="0.2">
      <c r="A4" t="s">
        <v>19</v>
      </c>
      <c r="B4" s="7">
        <f>Inputs!$B$1 / (1 + Inputs!$B$6 * Inputs!$B$10)</f>
        <v>995024.87562189065</v>
      </c>
      <c r="C4" t="str">
        <f>B4 &amp; " = " &amp; Inputs!$B$1 &amp; " / (1 + " &amp; Inputs!$B$6 &amp; " * " &amp; Inputs!$B$10 &amp; ")"</f>
        <v>995024.875621891 = 1000000 / (1 + 0.02 * 0.25)</v>
      </c>
    </row>
    <row r="5" spans="1:3" x14ac:dyDescent="0.2">
      <c r="A5" t="s">
        <v>20</v>
      </c>
      <c r="B5" s="5">
        <f>B4 * Inputs!$B$3</f>
        <v>1094527.3631840798</v>
      </c>
      <c r="C5" t="str">
        <f>B5 &amp; " = " &amp; B4 &amp; " * " &amp; Inputs!$B$3</f>
        <v>1094527.36318408 = 995024.875621891 * 1.1</v>
      </c>
    </row>
    <row r="6" spans="1:3" x14ac:dyDescent="0.2">
      <c r="A6" t="s">
        <v>21</v>
      </c>
      <c r="B6" s="5">
        <f>B5 * (1 + Inputs!$B$5 * Inputs!$B$10)</f>
        <v>1105472.6368159205</v>
      </c>
    </row>
    <row r="8" spans="1:3" x14ac:dyDescent="0.2">
      <c r="A8" s="8" t="s">
        <v>22</v>
      </c>
      <c r="B8" s="9">
        <f>B6</f>
        <v>1105472.6368159205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G20" sqref="G20"/>
    </sheetView>
  </sheetViews>
  <sheetFormatPr baseColWidth="10" defaultColWidth="8.83203125" defaultRowHeight="15" x14ac:dyDescent="0.2"/>
  <cols>
    <col min="1" max="1" width="23.6640625" bestFit="1" customWidth="1"/>
    <col min="2" max="2" width="21" bestFit="1" customWidth="1"/>
    <col min="3" max="3" width="12.6640625" bestFit="1" customWidth="1"/>
    <col min="4" max="4" width="11.5" bestFit="1" customWidth="1"/>
    <col min="5" max="5" width="34.5" bestFit="1" customWidth="1"/>
  </cols>
  <sheetData>
    <row r="1" spans="1:5" ht="19" x14ac:dyDescent="0.25">
      <c r="A1" s="3" t="s">
        <v>23</v>
      </c>
    </row>
    <row r="3" spans="1:5" x14ac:dyDescent="0.2">
      <c r="A3" t="s">
        <v>24</v>
      </c>
      <c r="B3" t="s">
        <v>17</v>
      </c>
    </row>
    <row r="4" spans="1:5" x14ac:dyDescent="0.2">
      <c r="A4" t="s">
        <v>25</v>
      </c>
      <c r="B4" s="10">
        <f>Inputs!$B$1 * Inputs!$B$8</f>
        <v>20000</v>
      </c>
    </row>
    <row r="5" spans="1:5" x14ac:dyDescent="0.2">
      <c r="A5" t="s">
        <v>26</v>
      </c>
      <c r="B5" s="10">
        <f>B4 * (1 + Inputs!$B$5 * Inputs!$B$10)</f>
        <v>20200</v>
      </c>
    </row>
    <row r="7" spans="1:5" x14ac:dyDescent="0.2">
      <c r="A7" s="11" t="s">
        <v>27</v>
      </c>
      <c r="B7" s="11" t="s">
        <v>28</v>
      </c>
      <c r="C7" s="11" t="s">
        <v>29</v>
      </c>
      <c r="D7" s="11" t="s">
        <v>30</v>
      </c>
      <c r="E7" s="11" t="s">
        <v>31</v>
      </c>
    </row>
    <row r="8" spans="1:5" x14ac:dyDescent="0.2">
      <c r="A8" s="4" t="s">
        <v>32</v>
      </c>
      <c r="B8" s="4">
        <v>1.0449999999999999</v>
      </c>
      <c r="C8" s="5">
        <f>Inputs!$B$1 * B8</f>
        <v>1044999.9999999999</v>
      </c>
      <c r="D8" s="5">
        <f>IF(Inputs!$B$9="put", MAX(0, Inputs!$B$1*(Inputs!$B$7 - B8)), MAX(0, Inputs!$B$1*(B8 - Inputs!$B$7)))</f>
        <v>55000.00000000016</v>
      </c>
      <c r="E8" s="5">
        <f>C8 + D8 - Option!$B$5</f>
        <v>1079800</v>
      </c>
    </row>
    <row r="9" spans="1:5" x14ac:dyDescent="0.2">
      <c r="A9" s="4" t="s">
        <v>33</v>
      </c>
      <c r="B9" s="4">
        <v>1.056</v>
      </c>
      <c r="C9" s="5">
        <f>Inputs!$B$1 * B9</f>
        <v>1056000</v>
      </c>
      <c r="D9" s="5">
        <f>IF(Inputs!$B$9="put", MAX(0, Inputs!$B$1*(Inputs!$B$7 - B9)), MAX(0, Inputs!$B$1*(B9 - Inputs!$B$7)))</f>
        <v>44000.000000000036</v>
      </c>
      <c r="E9" s="5">
        <f>C9 + D9 - Option!$B$5</f>
        <v>1079800</v>
      </c>
    </row>
    <row r="10" spans="1:5" x14ac:dyDescent="0.2">
      <c r="A10" s="4" t="s">
        <v>34</v>
      </c>
      <c r="B10" s="4">
        <v>1.0669999999999999</v>
      </c>
      <c r="C10" s="5">
        <f>Inputs!$B$1 * B10</f>
        <v>1067000</v>
      </c>
      <c r="D10" s="5">
        <f>IF(Inputs!$B$9="put", MAX(0, Inputs!$B$1*(Inputs!$B$7 - B10)), MAX(0, Inputs!$B$1*(B10 - Inputs!$B$7)))</f>
        <v>33000.000000000138</v>
      </c>
      <c r="E10" s="5">
        <f>C10 + D10 - Option!$B$5</f>
        <v>1079800.0000000002</v>
      </c>
    </row>
    <row r="11" spans="1:5" x14ac:dyDescent="0.2">
      <c r="A11" s="4" t="s">
        <v>35</v>
      </c>
      <c r="B11" s="4">
        <v>1.0780000000000001</v>
      </c>
      <c r="C11" s="5">
        <f>Inputs!$B$1 * B11</f>
        <v>1078000</v>
      </c>
      <c r="D11" s="5">
        <f>IF(Inputs!$B$9="put", MAX(0, Inputs!$B$1*(Inputs!$B$7 - B11)), MAX(0, Inputs!$B$1*(B11 - Inputs!$B$7)))</f>
        <v>22000.000000000018</v>
      </c>
      <c r="E11" s="5">
        <f>C11 + D11 - Option!$B$5</f>
        <v>1079800</v>
      </c>
    </row>
    <row r="12" spans="1:5" x14ac:dyDescent="0.2">
      <c r="A12" s="4" t="s">
        <v>36</v>
      </c>
      <c r="B12" s="4">
        <v>1.089</v>
      </c>
      <c r="C12" s="5">
        <f>Inputs!$B$1 * B12</f>
        <v>1089000</v>
      </c>
      <c r="D12" s="5">
        <f>IF(Inputs!$B$9="put", MAX(0, Inputs!$B$1*(Inputs!$B$7 - B12)), MAX(0, Inputs!$B$1*(B12 - Inputs!$B$7)))</f>
        <v>11000.00000000012</v>
      </c>
      <c r="E12" s="5">
        <f>C12 + D12 - Option!$B$5</f>
        <v>1079800.0000000002</v>
      </c>
    </row>
    <row r="13" spans="1:5" x14ac:dyDescent="0.2">
      <c r="A13" s="4" t="s">
        <v>37</v>
      </c>
      <c r="B13" s="4">
        <v>1.1000000000000001</v>
      </c>
      <c r="C13" s="5">
        <f>Inputs!$B$1 * B13</f>
        <v>1100000</v>
      </c>
      <c r="D13" s="5">
        <f>IF(Inputs!$B$9="put", MAX(0, Inputs!$B$1*(Inputs!$B$7 - B13)), MAX(0, Inputs!$B$1*(B13 - Inputs!$B$7)))</f>
        <v>0</v>
      </c>
      <c r="E13" s="5">
        <f>C13 + D13 - Option!$B$5</f>
        <v>1079800</v>
      </c>
    </row>
    <row r="14" spans="1:5" x14ac:dyDescent="0.2">
      <c r="A14" s="4" t="s">
        <v>38</v>
      </c>
      <c r="B14" s="4">
        <v>1.111</v>
      </c>
      <c r="C14" s="5">
        <f>Inputs!$B$1 * B14</f>
        <v>1111000</v>
      </c>
      <c r="D14" s="5">
        <f>IF(Inputs!$B$9="put", MAX(0, Inputs!$B$1*(Inputs!$B$7 - B14)), MAX(0, Inputs!$B$1*(B14 - Inputs!$B$7)))</f>
        <v>0</v>
      </c>
      <c r="E14" s="5">
        <f>C14 + D14 - Option!$B$5</f>
        <v>1090800</v>
      </c>
    </row>
    <row r="15" spans="1:5" x14ac:dyDescent="0.2">
      <c r="A15" s="4" t="s">
        <v>39</v>
      </c>
      <c r="B15" s="4">
        <v>1.1220000000000001</v>
      </c>
      <c r="C15" s="5">
        <f>Inputs!$B$1 * B15</f>
        <v>1122000</v>
      </c>
      <c r="D15" s="5">
        <f>IF(Inputs!$B$9="put", MAX(0, Inputs!$B$1*(Inputs!$B$7 - B15)), MAX(0, Inputs!$B$1*(B15 - Inputs!$B$7)))</f>
        <v>0</v>
      </c>
      <c r="E15" s="5">
        <f>C15 + D15 - Option!$B$5</f>
        <v>1101800</v>
      </c>
    </row>
    <row r="16" spans="1:5" x14ac:dyDescent="0.2">
      <c r="A16" s="4" t="s">
        <v>40</v>
      </c>
      <c r="B16" s="4">
        <v>1.133</v>
      </c>
      <c r="C16" s="5">
        <f>Inputs!$B$1 * B16</f>
        <v>1133000</v>
      </c>
      <c r="D16" s="5">
        <f>IF(Inputs!$B$9="put", MAX(0, Inputs!$B$1*(Inputs!$B$7 - B16)), MAX(0, Inputs!$B$1*(B16 - Inputs!$B$7)))</f>
        <v>0</v>
      </c>
      <c r="E16" s="5">
        <f>C16 + D16 - Option!$B$5</f>
        <v>1112800</v>
      </c>
    </row>
    <row r="17" spans="1:5" x14ac:dyDescent="0.2">
      <c r="A17" s="4" t="s">
        <v>41</v>
      </c>
      <c r="B17" s="4">
        <v>1.1439999999999999</v>
      </c>
      <c r="C17" s="5">
        <f>Inputs!$B$1 * B17</f>
        <v>1144000</v>
      </c>
      <c r="D17" s="5">
        <f>IF(Inputs!$B$9="put", MAX(0, Inputs!$B$1*(Inputs!$B$7 - B17)), MAX(0, Inputs!$B$1*(B17 - Inputs!$B$7)))</f>
        <v>0</v>
      </c>
      <c r="E17" s="5">
        <f>C17 + D17 - Option!$B$5</f>
        <v>1123800</v>
      </c>
    </row>
    <row r="18" spans="1:5" x14ac:dyDescent="0.2">
      <c r="A18" s="4" t="s">
        <v>42</v>
      </c>
      <c r="B18" s="4">
        <v>1.155</v>
      </c>
      <c r="C18" s="5">
        <f>Inputs!$B$1 * B18</f>
        <v>1155000</v>
      </c>
      <c r="D18" s="5">
        <f>IF(Inputs!$B$9="put", MAX(0, Inputs!$B$1*(Inputs!$B$7 - B18)), MAX(0, Inputs!$B$1*(B18 - Inputs!$B$7)))</f>
        <v>0</v>
      </c>
      <c r="E18" s="5">
        <f>C18 + D18 - Option!$B$5</f>
        <v>1134800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/>
  </sheetViews>
  <sheetFormatPr baseColWidth="10" defaultColWidth="8.83203125" defaultRowHeight="15" x14ac:dyDescent="0.2"/>
  <cols>
    <col min="1" max="6" width="16" customWidth="1"/>
  </cols>
  <sheetData>
    <row r="1" spans="1:6" ht="19" x14ac:dyDescent="0.25">
      <c r="A1" s="3" t="s">
        <v>43</v>
      </c>
    </row>
    <row r="3" spans="1:6" x14ac:dyDescent="0.2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</row>
    <row r="4" spans="1:6" x14ac:dyDescent="0.2">
      <c r="A4" s="4" t="s">
        <v>32</v>
      </c>
      <c r="B4" s="12">
        <f>Inputs!$B$3*(1+-5/100)</f>
        <v>1.0449999999999999</v>
      </c>
      <c r="C4" s="5">
        <f>Inputs!$B$1 * B4</f>
        <v>1044999.9999999999</v>
      </c>
      <c r="D4" s="5">
        <f>Inputs!$B$1 * Inputs!$B$4</f>
        <v>1095000</v>
      </c>
      <c r="E4" s="5">
        <f>MoneyMarket!$B$6</f>
        <v>1105472.6368159205</v>
      </c>
      <c r="F4" s="5">
        <f>Option!E8</f>
        <v>1079800</v>
      </c>
    </row>
    <row r="5" spans="1:6" x14ac:dyDescent="0.2">
      <c r="A5" s="4" t="s">
        <v>33</v>
      </c>
      <c r="B5" s="12">
        <f>Inputs!$B$3*(1+-4/100)</f>
        <v>1.056</v>
      </c>
      <c r="C5" s="5">
        <f>Inputs!$B$1 * B5</f>
        <v>1056000</v>
      </c>
      <c r="D5" s="5">
        <f>Inputs!$B$1 * Inputs!$B$4</f>
        <v>1095000</v>
      </c>
      <c r="E5" s="5">
        <f>MoneyMarket!$B$6</f>
        <v>1105472.6368159205</v>
      </c>
      <c r="F5" s="5">
        <f>Option!E9</f>
        <v>1079800</v>
      </c>
    </row>
    <row r="6" spans="1:6" x14ac:dyDescent="0.2">
      <c r="A6" s="4" t="s">
        <v>34</v>
      </c>
      <c r="B6" s="12">
        <f>Inputs!$B$3*(1+-3/100)</f>
        <v>1.0669999999999999</v>
      </c>
      <c r="C6" s="5">
        <f>Inputs!$B$1 * B6</f>
        <v>1067000</v>
      </c>
      <c r="D6" s="5">
        <f>Inputs!$B$1 * Inputs!$B$4</f>
        <v>1095000</v>
      </c>
      <c r="E6" s="5">
        <f>MoneyMarket!$B$6</f>
        <v>1105472.6368159205</v>
      </c>
      <c r="F6" s="5">
        <f>Option!E10</f>
        <v>1079800.0000000002</v>
      </c>
    </row>
    <row r="7" spans="1:6" x14ac:dyDescent="0.2">
      <c r="A7" s="4" t="s">
        <v>35</v>
      </c>
      <c r="B7" s="12">
        <f>Inputs!$B$3*(1+-2/100)</f>
        <v>1.0780000000000001</v>
      </c>
      <c r="C7" s="5">
        <f>Inputs!$B$1 * B7</f>
        <v>1078000</v>
      </c>
      <c r="D7" s="5">
        <f>Inputs!$B$1 * Inputs!$B$4</f>
        <v>1095000</v>
      </c>
      <c r="E7" s="5">
        <f>MoneyMarket!$B$6</f>
        <v>1105472.6368159205</v>
      </c>
      <c r="F7" s="5">
        <f>Option!E11</f>
        <v>1079800</v>
      </c>
    </row>
    <row r="8" spans="1:6" x14ac:dyDescent="0.2">
      <c r="A8" s="4" t="s">
        <v>36</v>
      </c>
      <c r="B8" s="12">
        <f>Inputs!$B$3*(1+-1/100)</f>
        <v>1.089</v>
      </c>
      <c r="C8" s="5">
        <f>Inputs!$B$1 * B8</f>
        <v>1089000</v>
      </c>
      <c r="D8" s="5">
        <f>Inputs!$B$1 * Inputs!$B$4</f>
        <v>1095000</v>
      </c>
      <c r="E8" s="5">
        <f>MoneyMarket!$B$6</f>
        <v>1105472.6368159205</v>
      </c>
      <c r="F8" s="5">
        <f>Option!E12</f>
        <v>1079800.0000000002</v>
      </c>
    </row>
    <row r="9" spans="1:6" x14ac:dyDescent="0.2">
      <c r="A9" s="4" t="s">
        <v>37</v>
      </c>
      <c r="B9" s="12">
        <f>Inputs!$B$3*(1+0/100)</f>
        <v>1.1000000000000001</v>
      </c>
      <c r="C9" s="5">
        <f>Inputs!$B$1 * B9</f>
        <v>1100000</v>
      </c>
      <c r="D9" s="5">
        <f>Inputs!$B$1 * Inputs!$B$4</f>
        <v>1095000</v>
      </c>
      <c r="E9" s="5">
        <f>MoneyMarket!$B$6</f>
        <v>1105472.6368159205</v>
      </c>
      <c r="F9" s="5">
        <f>Option!E13</f>
        <v>1079800</v>
      </c>
    </row>
    <row r="10" spans="1:6" x14ac:dyDescent="0.2">
      <c r="A10" s="4" t="s">
        <v>38</v>
      </c>
      <c r="B10" s="12">
        <f>Inputs!$B$3*(1+1/100)</f>
        <v>1.1110000000000002</v>
      </c>
      <c r="C10" s="5">
        <f>Inputs!$B$1 * B10</f>
        <v>1111000.0000000002</v>
      </c>
      <c r="D10" s="5">
        <f>Inputs!$B$1 * Inputs!$B$4</f>
        <v>1095000</v>
      </c>
      <c r="E10" s="5">
        <f>MoneyMarket!$B$6</f>
        <v>1105472.6368159205</v>
      </c>
      <c r="F10" s="5">
        <f>Option!E14</f>
        <v>1090800</v>
      </c>
    </row>
    <row r="11" spans="1:6" x14ac:dyDescent="0.2">
      <c r="A11" s="4" t="s">
        <v>39</v>
      </c>
      <c r="B11" s="12">
        <f>Inputs!$B$3*(1+2/100)</f>
        <v>1.1220000000000001</v>
      </c>
      <c r="C11" s="5">
        <f>Inputs!$B$1 * B11</f>
        <v>1122000</v>
      </c>
      <c r="D11" s="5">
        <f>Inputs!$B$1 * Inputs!$B$4</f>
        <v>1095000</v>
      </c>
      <c r="E11" s="5">
        <f>MoneyMarket!$B$6</f>
        <v>1105472.6368159205</v>
      </c>
      <c r="F11" s="5">
        <f>Option!E15</f>
        <v>1101800</v>
      </c>
    </row>
    <row r="12" spans="1:6" x14ac:dyDescent="0.2">
      <c r="A12" s="4" t="s">
        <v>40</v>
      </c>
      <c r="B12" s="12">
        <f>Inputs!$B$3*(1+3/100)</f>
        <v>1.1330000000000002</v>
      </c>
      <c r="C12" s="5">
        <f>Inputs!$B$1 * B12</f>
        <v>1133000.0000000002</v>
      </c>
      <c r="D12" s="5">
        <f>Inputs!$B$1 * Inputs!$B$4</f>
        <v>1095000</v>
      </c>
      <c r="E12" s="5">
        <f>MoneyMarket!$B$6</f>
        <v>1105472.6368159205</v>
      </c>
      <c r="F12" s="5">
        <f>Option!E16</f>
        <v>1112800</v>
      </c>
    </row>
    <row r="13" spans="1:6" x14ac:dyDescent="0.2">
      <c r="A13" s="4" t="s">
        <v>41</v>
      </c>
      <c r="B13" s="12">
        <f>Inputs!$B$3*(1+4/100)</f>
        <v>1.1440000000000001</v>
      </c>
      <c r="C13" s="5">
        <f>Inputs!$B$1 * B13</f>
        <v>1144000.0000000002</v>
      </c>
      <c r="D13" s="5">
        <f>Inputs!$B$1 * Inputs!$B$4</f>
        <v>1095000</v>
      </c>
      <c r="E13" s="5">
        <f>MoneyMarket!$B$6</f>
        <v>1105472.6368159205</v>
      </c>
      <c r="F13" s="5">
        <f>Option!E17</f>
        <v>1123800</v>
      </c>
    </row>
    <row r="14" spans="1:6" x14ac:dyDescent="0.2">
      <c r="A14" s="4" t="s">
        <v>42</v>
      </c>
      <c r="B14" s="12">
        <f>Inputs!$B$3*(1+5/100)</f>
        <v>1.1550000000000002</v>
      </c>
      <c r="C14" s="5">
        <f>Inputs!$B$1 * B14</f>
        <v>1155000.0000000002</v>
      </c>
      <c r="D14" s="5">
        <f>Inputs!$B$1 * Inputs!$B$4</f>
        <v>1095000</v>
      </c>
      <c r="E14" s="5">
        <f>MoneyMarket!$B$6</f>
        <v>1105472.6368159205</v>
      </c>
      <c r="F14" s="5">
        <f>Option!E18</f>
        <v>1134800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Inputs</vt:lpstr>
      <vt:lpstr>Forward</vt:lpstr>
      <vt:lpstr>MoneyMarket</vt:lpstr>
      <vt:lpstr>Option</vt:lpstr>
      <vt:lpstr>Sensitivity</vt:lpstr>
      <vt:lpstr>F0</vt:lpstr>
      <vt:lpstr>FC_AMT</vt:lpstr>
      <vt:lpstr>FC_CURRENCY</vt:lpstr>
      <vt:lpstr>K</vt:lpstr>
      <vt:lpstr>OPTION_PREMIUM</vt:lpstr>
      <vt:lpstr>OPTION_TYPE</vt:lpstr>
      <vt:lpstr>r_FC</vt:lpstr>
      <vt:lpstr>r_USD</vt:lpstr>
      <vt:lpstr>S0</vt:lpstr>
      <vt:lpstr>TTM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(Christina) Doan</cp:lastModifiedBy>
  <dcterms:created xsi:type="dcterms:W3CDTF">2025-11-22T07:55:09Z</dcterms:created>
  <dcterms:modified xsi:type="dcterms:W3CDTF">2025-11-22T07:59:51Z</dcterms:modified>
</cp:coreProperties>
</file>